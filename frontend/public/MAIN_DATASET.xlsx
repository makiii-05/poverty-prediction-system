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resources\dataset_sources\MAIN_DATASET\"/>
    </mc:Choice>
  </mc:AlternateContent>
  <xr:revisionPtr revIDLastSave="0" documentId="13_ncr:1_{2D8D7EA8-11EC-4B03-8CCF-B6BC874EBDE1}" xr6:coauthVersionLast="47" xr6:coauthVersionMax="47" xr10:uidLastSave="{00000000-0000-0000-0000-000000000000}"/>
  <bookViews>
    <workbookView xWindow="-110" yWindow="-110" windowWidth="19420" windowHeight="12660" xr2:uid="{C26C56D8-7F20-4AD8-A3F4-704723B4C0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8" i="1" l="1"/>
  <c r="A59" i="1"/>
  <c r="A60" i="1"/>
  <c r="A61" i="1"/>
  <c r="A57" i="1"/>
  <c r="A56" i="1"/>
  <c r="A72" i="1"/>
  <c r="A73" i="1"/>
  <c r="A67" i="1"/>
  <c r="A68" i="1"/>
  <c r="A62" i="1"/>
  <c r="A63" i="1"/>
  <c r="A52" i="1"/>
  <c r="A53" i="1"/>
  <c r="A47" i="1"/>
  <c r="A48" i="1"/>
  <c r="A42" i="1"/>
  <c r="A43" i="1"/>
  <c r="A37" i="1"/>
  <c r="A38" i="1"/>
  <c r="A27" i="1"/>
  <c r="A28" i="1"/>
  <c r="A22" i="1"/>
  <c r="A23" i="1"/>
  <c r="A17" i="1"/>
  <c r="A18" i="1"/>
  <c r="A12" i="1"/>
  <c r="A13" i="1"/>
  <c r="A75" i="1"/>
  <c r="A76" i="1"/>
  <c r="A74" i="1"/>
  <c r="A70" i="1"/>
  <c r="A71" i="1"/>
  <c r="A69" i="1"/>
  <c r="A65" i="1"/>
  <c r="A66" i="1"/>
  <c r="A64" i="1"/>
  <c r="A55" i="1"/>
  <c r="A54" i="1"/>
  <c r="A50" i="1"/>
  <c r="A51" i="1"/>
  <c r="A49" i="1"/>
  <c r="A45" i="1"/>
  <c r="A46" i="1"/>
  <c r="A44" i="1"/>
  <c r="A40" i="1"/>
  <c r="A41" i="1"/>
  <c r="A39" i="1"/>
  <c r="A30" i="1"/>
  <c r="A31" i="1"/>
  <c r="A29" i="1"/>
  <c r="A25" i="1"/>
  <c r="A26" i="1"/>
  <c r="A24" i="1"/>
  <c r="A21" i="1"/>
  <c r="A20" i="1"/>
  <c r="A19" i="1"/>
  <c r="A16" i="1"/>
  <c r="A15" i="1"/>
  <c r="A14" i="1"/>
</calcChain>
</file>

<file path=xl/sharedStrings.xml><?xml version="1.0" encoding="utf-8"?>
<sst xmlns="http://schemas.openxmlformats.org/spreadsheetml/2006/main" count="120" uniqueCount="30">
  <si>
    <t>NCR</t>
  </si>
  <si>
    <t>CAR</t>
  </si>
  <si>
    <t>MIMAROPA</t>
  </si>
  <si>
    <t>CARAGA</t>
  </si>
  <si>
    <t>BARMM</t>
  </si>
  <si>
    <t>National Capital Region</t>
  </si>
  <si>
    <t>Cordillera Administrative Region</t>
  </si>
  <si>
    <t>Ilocos Region</t>
  </si>
  <si>
    <t>Cagayan Valey</t>
  </si>
  <si>
    <t>Central Luzon</t>
  </si>
  <si>
    <t>Calabarzon</t>
  </si>
  <si>
    <t>Mimaropa</t>
  </si>
  <si>
    <t>Bicol Region</t>
  </si>
  <si>
    <t>Western Visayas</t>
  </si>
  <si>
    <t>Central Visayas</t>
  </si>
  <si>
    <t>Eastern Visayas</t>
  </si>
  <si>
    <t>Zamboanga Peninsula</t>
  </si>
  <si>
    <t>Northern Mindanao</t>
  </si>
  <si>
    <t>Davao Region</t>
  </si>
  <si>
    <t>SOCCSKSARGEN</t>
  </si>
  <si>
    <t>27,2</t>
  </si>
  <si>
    <t xml:space="preserve">region </t>
  </si>
  <si>
    <t>region_name</t>
  </si>
  <si>
    <t>year</t>
  </si>
  <si>
    <t>ave_income</t>
  </si>
  <si>
    <t>expenditure</t>
  </si>
  <si>
    <t>unemployment_rate</t>
  </si>
  <si>
    <t>mean_years_education</t>
  </si>
  <si>
    <t>population_size</t>
  </si>
  <si>
    <t>poverty_incidence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</si>
</sst>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06E6A-D488-4A1A-807F-EA8F71323B73}">
  <dimension ref="A1:I86"/>
  <sheetViews>
    <sheetView tabSelected="1" zoomScale="70" zoomScaleNormal="70" workbookViewId="0">
      <pane xSplit="1" topLeftCell="B1" activePane="topRight" state="frozen"/>
      <selection pane="topRight" activeCell="J7" sqref="J7"/>
    </sheetView>
  </sheetViews>
  <sheetFormatPr defaultRowHeight="14.5" x14ac:dyDescent="0.35"/>
  <cols>
    <col min="1" max="1" width="13.1796875" customWidth="1"/>
    <col min="2" max="2" width="34.54296875" customWidth="1"/>
    <col min="3" max="3" width="13.1796875" customWidth="1"/>
    <col min="4" max="4" width="22.08984375" customWidth="1"/>
    <col min="5" max="5" width="14.08984375" customWidth="1"/>
    <col min="6" max="6" width="23.08984375" customWidth="1"/>
    <col min="7" max="7" width="34.81640625" customWidth="1"/>
    <col min="8" max="8" width="33.36328125" customWidth="1"/>
    <col min="9" max="9" width="31.453125" customWidth="1"/>
  </cols>
  <sheetData>
    <row r="1" spans="1:9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 x14ac:dyDescent="0.35">
      <c r="A2" s="2" t="s">
        <v>0</v>
      </c>
      <c r="B2" s="2" t="s">
        <v>5</v>
      </c>
      <c r="C2" s="2">
        <v>2012</v>
      </c>
      <c r="D2" s="2">
        <v>250204</v>
      </c>
      <c r="E2" s="2">
        <v>183031</v>
      </c>
      <c r="F2" s="2">
        <v>10.9</v>
      </c>
      <c r="G2" s="2">
        <v>11</v>
      </c>
      <c r="H2" s="4">
        <v>14900000</v>
      </c>
      <c r="I2" s="2">
        <v>3.1</v>
      </c>
    </row>
    <row r="3" spans="1:9" x14ac:dyDescent="0.35">
      <c r="A3" s="2" t="s">
        <v>0</v>
      </c>
      <c r="B3" s="2" t="s">
        <v>5</v>
      </c>
      <c r="C3" s="2">
        <v>2015</v>
      </c>
      <c r="D3" s="4">
        <v>299148.70703030302</v>
      </c>
      <c r="E3" s="4">
        <v>221962.29563636365</v>
      </c>
      <c r="F3" s="2">
        <v>8.5</v>
      </c>
      <c r="G3" s="2">
        <v>11.6</v>
      </c>
      <c r="H3" s="2">
        <v>15300000</v>
      </c>
      <c r="I3" s="2">
        <v>4.0999999999999996</v>
      </c>
    </row>
    <row r="4" spans="1:9" x14ac:dyDescent="0.35">
      <c r="A4" s="2" t="s">
        <v>0</v>
      </c>
      <c r="B4" s="2" t="s">
        <v>5</v>
      </c>
      <c r="C4" s="2">
        <v>2018</v>
      </c>
      <c r="D4" s="2">
        <v>460380</v>
      </c>
      <c r="E4" s="2">
        <v>368680</v>
      </c>
      <c r="F4" s="2">
        <v>6.6</v>
      </c>
      <c r="G4" s="2">
        <v>12.1</v>
      </c>
      <c r="H4" s="2">
        <v>15400000</v>
      </c>
      <c r="I4" s="2">
        <v>2.2000000000000002</v>
      </c>
    </row>
    <row r="5" spans="1:9" x14ac:dyDescent="0.35">
      <c r="A5" s="2" t="s">
        <v>0</v>
      </c>
      <c r="B5" s="2" t="s">
        <v>5</v>
      </c>
      <c r="C5" s="2">
        <v>2021</v>
      </c>
      <c r="D5" s="2">
        <v>417850</v>
      </c>
      <c r="E5" s="2">
        <v>321590</v>
      </c>
      <c r="F5" s="2">
        <v>10.6</v>
      </c>
      <c r="G5" s="2">
        <v>11.9</v>
      </c>
      <c r="H5" s="2">
        <v>15200000</v>
      </c>
      <c r="I5" s="2">
        <v>3.5</v>
      </c>
    </row>
    <row r="6" spans="1:9" x14ac:dyDescent="0.35">
      <c r="A6" s="2" t="s">
        <v>0</v>
      </c>
      <c r="B6" s="2" t="s">
        <v>5</v>
      </c>
      <c r="C6" s="2">
        <v>2023</v>
      </c>
      <c r="D6" s="2">
        <v>513520</v>
      </c>
      <c r="E6" s="2">
        <v>358050</v>
      </c>
      <c r="F6" s="2">
        <v>5.9</v>
      </c>
      <c r="G6" s="2">
        <v>11.7</v>
      </c>
      <c r="H6" s="2">
        <v>15200000</v>
      </c>
      <c r="I6" s="2">
        <v>2</v>
      </c>
    </row>
    <row r="7" spans="1:9" x14ac:dyDescent="0.35">
      <c r="A7" s="2" t="s">
        <v>1</v>
      </c>
      <c r="B7" s="2" t="s">
        <v>6</v>
      </c>
      <c r="C7" s="2">
        <v>2012</v>
      </c>
      <c r="D7" s="2">
        <v>181300</v>
      </c>
      <c r="E7" s="2">
        <v>142439</v>
      </c>
      <c r="F7" s="2">
        <v>5.6</v>
      </c>
      <c r="G7" s="2">
        <v>9.82</v>
      </c>
      <c r="H7" s="2">
        <v>1750000</v>
      </c>
      <c r="I7" s="2">
        <v>18.399999999999999</v>
      </c>
    </row>
    <row r="8" spans="1:9" x14ac:dyDescent="0.35">
      <c r="A8" s="2" t="s">
        <v>1</v>
      </c>
      <c r="B8" s="2" t="s">
        <v>6</v>
      </c>
      <c r="C8" s="2">
        <v>2015</v>
      </c>
      <c r="D8" s="4">
        <v>214072.37073694251</v>
      </c>
      <c r="E8" s="4">
        <v>174480.80741712378</v>
      </c>
      <c r="F8" s="2">
        <v>4.8</v>
      </c>
      <c r="G8" s="2">
        <v>10.4</v>
      </c>
      <c r="H8" s="2">
        <v>1880000</v>
      </c>
      <c r="I8" s="2">
        <v>22.7</v>
      </c>
    </row>
    <row r="9" spans="1:9" x14ac:dyDescent="0.35">
      <c r="A9" s="2" t="s">
        <v>1</v>
      </c>
      <c r="B9" s="2" t="s">
        <v>6</v>
      </c>
      <c r="C9" s="2">
        <v>2018</v>
      </c>
      <c r="D9" s="2">
        <v>353920</v>
      </c>
      <c r="E9" s="2">
        <v>230290</v>
      </c>
      <c r="F9" s="2">
        <v>4.0999999999999996</v>
      </c>
      <c r="G9" s="2">
        <v>10.8</v>
      </c>
      <c r="H9" s="2">
        <v>1970000</v>
      </c>
      <c r="I9" s="2">
        <v>12</v>
      </c>
    </row>
    <row r="10" spans="1:9" x14ac:dyDescent="0.35">
      <c r="A10" s="2" t="s">
        <v>1</v>
      </c>
      <c r="B10" s="2" t="s">
        <v>6</v>
      </c>
      <c r="C10" s="2">
        <v>2021</v>
      </c>
      <c r="D10" s="2">
        <v>350430</v>
      </c>
      <c r="E10" s="2">
        <v>242890</v>
      </c>
      <c r="F10" s="2">
        <v>5.8</v>
      </c>
      <c r="G10" s="2">
        <v>11.2</v>
      </c>
      <c r="H10" s="2">
        <v>1960000</v>
      </c>
      <c r="I10" s="2">
        <v>9.9</v>
      </c>
    </row>
    <row r="11" spans="1:9" x14ac:dyDescent="0.35">
      <c r="A11" s="2" t="s">
        <v>1</v>
      </c>
      <c r="B11" s="2" t="s">
        <v>6</v>
      </c>
      <c r="C11" s="2">
        <v>2023</v>
      </c>
      <c r="D11" s="2">
        <v>359240</v>
      </c>
      <c r="E11" s="2">
        <v>247860</v>
      </c>
      <c r="F11" s="2">
        <v>2.8</v>
      </c>
      <c r="G11" s="2">
        <v>11.4</v>
      </c>
      <c r="H11" s="2">
        <v>1950000</v>
      </c>
      <c r="I11" s="2">
        <v>7</v>
      </c>
    </row>
    <row r="12" spans="1:9" x14ac:dyDescent="0.35">
      <c r="A12" s="2" t="str">
        <f t="shared" ref="A12:A13" si="0">"Region "&amp;ROMAN(1)</f>
        <v>Region I</v>
      </c>
      <c r="B12" s="2" t="s">
        <v>7</v>
      </c>
      <c r="C12" s="2">
        <v>2012</v>
      </c>
      <c r="D12" s="2">
        <v>205237</v>
      </c>
      <c r="E12" s="2">
        <v>159057</v>
      </c>
      <c r="F12" s="2">
        <v>8.1999999999999993</v>
      </c>
      <c r="G12" s="2">
        <v>9.8800000000000008</v>
      </c>
      <c r="H12" s="2">
        <v>5030000</v>
      </c>
      <c r="I12" s="2">
        <v>16</v>
      </c>
    </row>
    <row r="13" spans="1:9" x14ac:dyDescent="0.35">
      <c r="A13" s="2" t="str">
        <f t="shared" si="0"/>
        <v>Region I</v>
      </c>
      <c r="B13" s="2" t="s">
        <v>7</v>
      </c>
      <c r="C13" s="2">
        <v>2015</v>
      </c>
      <c r="D13" s="4">
        <v>269637.60494164802</v>
      </c>
      <c r="E13" s="4">
        <v>205130.62819110139</v>
      </c>
      <c r="F13" s="2">
        <v>8.4</v>
      </c>
      <c r="G13" s="2">
        <v>10.199999999999999</v>
      </c>
      <c r="H13" s="2">
        <v>5410000</v>
      </c>
      <c r="I13" s="2">
        <v>18.8</v>
      </c>
    </row>
    <row r="14" spans="1:9" x14ac:dyDescent="0.35">
      <c r="A14" s="2" t="str">
        <f>"Region "&amp;ROMAN(1)</f>
        <v>Region I</v>
      </c>
      <c r="B14" s="2" t="s">
        <v>7</v>
      </c>
      <c r="C14" s="2">
        <v>2018</v>
      </c>
      <c r="D14" s="2">
        <v>286980</v>
      </c>
      <c r="E14" s="3">
        <v>204500</v>
      </c>
      <c r="F14" s="2">
        <v>6.8</v>
      </c>
      <c r="G14" s="2">
        <v>10.6</v>
      </c>
      <c r="H14" s="2">
        <v>5840000</v>
      </c>
      <c r="I14" s="2">
        <v>9.9</v>
      </c>
    </row>
    <row r="15" spans="1:9" x14ac:dyDescent="0.35">
      <c r="A15" s="2" t="str">
        <f>"Region "&amp;ROMAN(1)</f>
        <v>Region I</v>
      </c>
      <c r="B15" s="2" t="s">
        <v>7</v>
      </c>
      <c r="C15" s="2">
        <v>2021</v>
      </c>
      <c r="D15" s="2">
        <v>304840</v>
      </c>
      <c r="E15" s="3">
        <v>209540</v>
      </c>
      <c r="F15" s="2">
        <v>8.1999999999999993</v>
      </c>
      <c r="G15" s="2">
        <v>10.8</v>
      </c>
      <c r="H15" s="2">
        <v>6190000</v>
      </c>
      <c r="I15" s="2">
        <v>14.4</v>
      </c>
    </row>
    <row r="16" spans="1:9" x14ac:dyDescent="0.35">
      <c r="A16" s="2" t="str">
        <f>"Region "&amp;ROMAN(1)</f>
        <v>Region I</v>
      </c>
      <c r="B16" s="2" t="s">
        <v>7</v>
      </c>
      <c r="C16" s="2">
        <v>2023</v>
      </c>
      <c r="D16" s="2">
        <v>339690</v>
      </c>
      <c r="E16" s="3">
        <v>232440</v>
      </c>
      <c r="F16" s="2">
        <v>5</v>
      </c>
      <c r="G16" s="2">
        <v>10.9</v>
      </c>
      <c r="H16" s="2">
        <v>6430000</v>
      </c>
      <c r="I16" s="2">
        <v>12</v>
      </c>
    </row>
    <row r="17" spans="1:9" x14ac:dyDescent="0.35">
      <c r="A17" s="2" t="str">
        <f t="shared" ref="A17:A18" si="1">"Region "&amp;ROMAN(2)</f>
        <v>Region II</v>
      </c>
      <c r="B17" s="2" t="s">
        <v>8</v>
      </c>
      <c r="C17" s="2">
        <v>2012</v>
      </c>
      <c r="D17" s="2">
        <v>192994</v>
      </c>
      <c r="E17" s="2">
        <v>138805</v>
      </c>
      <c r="F17" s="2">
        <v>2.7</v>
      </c>
      <c r="G17" s="2">
        <v>9.07</v>
      </c>
      <c r="H17" s="2">
        <v>3540000</v>
      </c>
      <c r="I17" s="2">
        <v>18.899999999999999</v>
      </c>
    </row>
    <row r="18" spans="1:9" x14ac:dyDescent="0.35">
      <c r="A18" s="2" t="str">
        <f t="shared" si="1"/>
        <v>Region II</v>
      </c>
      <c r="B18" s="2" t="s">
        <v>8</v>
      </c>
      <c r="C18" s="2">
        <v>2015</v>
      </c>
      <c r="D18" s="4">
        <v>260325.46002986562</v>
      </c>
      <c r="E18" s="4">
        <v>178688.25455450473</v>
      </c>
      <c r="F18" s="2">
        <v>3.2</v>
      </c>
      <c r="G18" s="2">
        <v>9.2899999999999991</v>
      </c>
      <c r="H18" s="2">
        <v>3800000</v>
      </c>
      <c r="I18" s="2">
        <v>17.8</v>
      </c>
    </row>
    <row r="19" spans="1:9" x14ac:dyDescent="0.35">
      <c r="A19" s="2" t="str">
        <f>"Region "&amp;ROMAN(2)</f>
        <v>Region II</v>
      </c>
      <c r="B19" s="2" t="s">
        <v>8</v>
      </c>
      <c r="C19" s="2">
        <v>2018</v>
      </c>
      <c r="D19" s="2">
        <v>265030</v>
      </c>
      <c r="E19" s="3">
        <v>174190</v>
      </c>
      <c r="F19" s="2">
        <v>3</v>
      </c>
      <c r="G19" s="2">
        <v>9.6</v>
      </c>
      <c r="H19" s="2">
        <v>3880000</v>
      </c>
      <c r="I19" s="2">
        <v>16.3</v>
      </c>
    </row>
    <row r="20" spans="1:9" x14ac:dyDescent="0.35">
      <c r="A20" s="2" t="str">
        <f>"Region "&amp;ROMAN(2)</f>
        <v>Region II</v>
      </c>
      <c r="B20" s="2" t="s">
        <v>8</v>
      </c>
      <c r="C20" s="2">
        <v>2021</v>
      </c>
      <c r="D20" s="2">
        <v>290120</v>
      </c>
      <c r="E20" s="3">
        <v>201110</v>
      </c>
      <c r="F20" s="2">
        <v>6</v>
      </c>
      <c r="G20" s="2">
        <v>9.81</v>
      </c>
      <c r="H20" s="2">
        <v>3810000</v>
      </c>
      <c r="I20" s="2">
        <v>15.4</v>
      </c>
    </row>
    <row r="21" spans="1:9" x14ac:dyDescent="0.35">
      <c r="A21" s="2" t="str">
        <f>"Region "&amp;ROMAN(2)</f>
        <v>Region II</v>
      </c>
      <c r="B21" s="2" t="s">
        <v>8</v>
      </c>
      <c r="C21" s="2">
        <v>2023</v>
      </c>
      <c r="D21" s="2">
        <v>310550</v>
      </c>
      <c r="E21" s="3">
        <v>214000</v>
      </c>
      <c r="F21" s="2">
        <v>2.4</v>
      </c>
      <c r="G21" s="2">
        <v>9.9499999999999993</v>
      </c>
      <c r="H21" s="2">
        <v>3770000</v>
      </c>
      <c r="I21" s="2">
        <v>10</v>
      </c>
    </row>
    <row r="22" spans="1:9" x14ac:dyDescent="0.35">
      <c r="A22" s="2" t="str">
        <f t="shared" ref="A22:A23" si="2">"Region "&amp;ROMAN(3)</f>
        <v>Region III</v>
      </c>
      <c r="B22" s="2" t="s">
        <v>9</v>
      </c>
      <c r="C22" s="2">
        <v>2012</v>
      </c>
      <c r="D22" s="2">
        <v>257516</v>
      </c>
      <c r="E22" s="2">
        <v>209651</v>
      </c>
      <c r="F22" s="2">
        <v>9</v>
      </c>
      <c r="G22" s="2">
        <v>9.4499999999999993</v>
      </c>
      <c r="H22" s="2">
        <v>10800000</v>
      </c>
      <c r="I22" s="2">
        <v>11.3</v>
      </c>
    </row>
    <row r="23" spans="1:9" x14ac:dyDescent="0.35">
      <c r="A23" s="2" t="str">
        <f t="shared" si="2"/>
        <v>Region III</v>
      </c>
      <c r="B23" s="2" t="s">
        <v>9</v>
      </c>
      <c r="C23" s="2">
        <v>2015</v>
      </c>
      <c r="D23" s="4">
        <v>328874.89156468818</v>
      </c>
      <c r="E23" s="4">
        <v>262541.54145671095</v>
      </c>
      <c r="F23" s="2">
        <v>7.8</v>
      </c>
      <c r="G23" s="2">
        <v>9.89</v>
      </c>
      <c r="H23" s="2">
        <v>10700000</v>
      </c>
      <c r="I23" s="2">
        <v>10.5</v>
      </c>
    </row>
    <row r="24" spans="1:9" x14ac:dyDescent="0.35">
      <c r="A24" s="2" t="str">
        <f>"Region "&amp;ROMAN(3)</f>
        <v>Region III</v>
      </c>
      <c r="B24" s="2" t="s">
        <v>9</v>
      </c>
      <c r="C24" s="2">
        <v>2018</v>
      </c>
      <c r="D24" s="2">
        <v>333970</v>
      </c>
      <c r="E24" s="3">
        <v>270210</v>
      </c>
      <c r="F24" s="2">
        <v>5.8</v>
      </c>
      <c r="G24" s="2">
        <v>10.4</v>
      </c>
      <c r="H24" s="2">
        <v>10800000</v>
      </c>
      <c r="I24" s="2">
        <v>7</v>
      </c>
    </row>
    <row r="25" spans="1:9" x14ac:dyDescent="0.35">
      <c r="A25" s="2" t="str">
        <f t="shared" ref="A25:A26" si="3">"Region "&amp;ROMAN(3)</f>
        <v>Region III</v>
      </c>
      <c r="B25" s="2" t="s">
        <v>9</v>
      </c>
      <c r="C25" s="2">
        <v>2021</v>
      </c>
      <c r="D25" s="2">
        <v>328540</v>
      </c>
      <c r="E25" s="3">
        <v>258450</v>
      </c>
      <c r="F25" s="2">
        <v>7.5</v>
      </c>
      <c r="G25" s="2">
        <v>10.7</v>
      </c>
      <c r="H25" s="2">
        <v>12100000</v>
      </c>
      <c r="I25" s="2">
        <v>11.4</v>
      </c>
    </row>
    <row r="26" spans="1:9" x14ac:dyDescent="0.35">
      <c r="A26" s="2" t="str">
        <f t="shared" si="3"/>
        <v>Region III</v>
      </c>
      <c r="B26" s="2" t="s">
        <v>9</v>
      </c>
      <c r="C26" s="2">
        <v>2023</v>
      </c>
      <c r="D26" s="2">
        <v>375240</v>
      </c>
      <c r="E26" s="3">
        <v>298700</v>
      </c>
      <c r="F26" s="2">
        <v>4.2</v>
      </c>
      <c r="G26" s="2">
        <v>10.9</v>
      </c>
      <c r="H26" s="2">
        <v>13000000</v>
      </c>
      <c r="I26" s="2">
        <v>8</v>
      </c>
    </row>
    <row r="27" spans="1:9" x14ac:dyDescent="0.35">
      <c r="A27" s="2" t="str">
        <f t="shared" ref="A27:A28" si="4">"Region "&amp;ROMAN(4)</f>
        <v>Region IV</v>
      </c>
      <c r="B27" s="2" t="s">
        <v>10</v>
      </c>
      <c r="C27" s="2">
        <v>2012</v>
      </c>
      <c r="D27" s="2">
        <v>263846</v>
      </c>
      <c r="E27" s="2">
        <v>228490</v>
      </c>
      <c r="F27" s="2">
        <v>9</v>
      </c>
      <c r="G27" s="2">
        <v>10</v>
      </c>
      <c r="H27" s="2">
        <v>13300000</v>
      </c>
      <c r="I27" s="2">
        <v>9.3000000000000007</v>
      </c>
    </row>
    <row r="28" spans="1:9" x14ac:dyDescent="0.35">
      <c r="A28" s="2" t="str">
        <f t="shared" si="4"/>
        <v>Region IV</v>
      </c>
      <c r="B28" s="2" t="s">
        <v>10</v>
      </c>
      <c r="C28" s="2">
        <v>2015</v>
      </c>
      <c r="D28" s="4">
        <v>337581.62215864757</v>
      </c>
      <c r="E28" s="4">
        <v>290843.95256176853</v>
      </c>
      <c r="F28" s="2">
        <v>8</v>
      </c>
      <c r="G28" s="2">
        <v>10.5</v>
      </c>
      <c r="H28" s="2">
        <v>15100000</v>
      </c>
      <c r="I28" s="2">
        <v>12.5</v>
      </c>
    </row>
    <row r="29" spans="1:9" x14ac:dyDescent="0.35">
      <c r="A29" s="2" t="str">
        <f>"Region "&amp;ROMAN(4)</f>
        <v>Region IV</v>
      </c>
      <c r="B29" s="2" t="s">
        <v>10</v>
      </c>
      <c r="C29" s="2">
        <v>2018</v>
      </c>
      <c r="D29" s="2">
        <v>384170</v>
      </c>
      <c r="E29" s="3">
        <v>304640</v>
      </c>
      <c r="F29" s="2">
        <v>6.6</v>
      </c>
      <c r="G29" s="2">
        <v>10.9</v>
      </c>
      <c r="H29" s="2">
        <v>16400000</v>
      </c>
      <c r="I29" s="2">
        <v>7.1</v>
      </c>
    </row>
    <row r="30" spans="1:9" x14ac:dyDescent="0.35">
      <c r="A30" s="2" t="str">
        <f t="shared" ref="A30:A31" si="5">"Region "&amp;ROMAN(4)</f>
        <v>Region IV</v>
      </c>
      <c r="B30" s="2" t="s">
        <v>10</v>
      </c>
      <c r="C30" s="2">
        <v>2021</v>
      </c>
      <c r="D30" s="2">
        <v>361030</v>
      </c>
      <c r="E30" s="3">
        <v>280580</v>
      </c>
      <c r="F30" s="2">
        <v>10.6</v>
      </c>
      <c r="G30" s="2">
        <v>11</v>
      </c>
      <c r="H30" s="2">
        <v>16300000</v>
      </c>
      <c r="I30" s="2">
        <v>10.199999999999999</v>
      </c>
    </row>
    <row r="31" spans="1:9" x14ac:dyDescent="0.35">
      <c r="A31" s="2" t="str">
        <f t="shared" si="5"/>
        <v>Region IV</v>
      </c>
      <c r="B31" s="2" t="s">
        <v>10</v>
      </c>
      <c r="C31" s="2">
        <v>2023</v>
      </c>
      <c r="D31" s="2">
        <v>426530</v>
      </c>
      <c r="E31" s="3">
        <v>310320</v>
      </c>
      <c r="F31" s="2">
        <v>5.4</v>
      </c>
      <c r="G31" s="2">
        <v>11.1</v>
      </c>
      <c r="H31" s="2">
        <v>16100000</v>
      </c>
      <c r="I31" s="2">
        <v>8</v>
      </c>
    </row>
    <row r="32" spans="1:9" x14ac:dyDescent="0.35">
      <c r="A32" s="2" t="s">
        <v>2</v>
      </c>
      <c r="B32" s="2" t="s">
        <v>11</v>
      </c>
      <c r="C32" s="2">
        <v>2012</v>
      </c>
      <c r="D32" s="2">
        <v>174850</v>
      </c>
      <c r="E32" s="2">
        <v>135221</v>
      </c>
      <c r="F32" s="2">
        <v>4.0999999999999996</v>
      </c>
      <c r="G32" s="2">
        <v>7.82</v>
      </c>
      <c r="H32" s="2">
        <v>2660000</v>
      </c>
      <c r="I32" s="2">
        <v>26.2</v>
      </c>
    </row>
    <row r="33" spans="1:9" x14ac:dyDescent="0.35">
      <c r="A33" s="2" t="s">
        <v>2</v>
      </c>
      <c r="B33" s="2" t="s">
        <v>11</v>
      </c>
      <c r="C33" s="2">
        <v>2015</v>
      </c>
      <c r="D33" s="4">
        <v>235436.250897989</v>
      </c>
      <c r="E33" s="4">
        <v>171786.07614942529</v>
      </c>
      <c r="F33" s="2">
        <v>3.3</v>
      </c>
      <c r="G33" s="2">
        <v>8.6300000000000008</v>
      </c>
      <c r="H33" s="2">
        <v>2730000</v>
      </c>
      <c r="I33" s="2">
        <v>25.2</v>
      </c>
    </row>
    <row r="34" spans="1:9" x14ac:dyDescent="0.35">
      <c r="A34" s="2" t="s">
        <v>2</v>
      </c>
      <c r="B34" s="2" t="s">
        <v>11</v>
      </c>
      <c r="C34" s="2">
        <v>2018</v>
      </c>
      <c r="D34" s="2">
        <v>257430</v>
      </c>
      <c r="E34" s="3">
        <v>174790</v>
      </c>
      <c r="F34" s="2">
        <v>4.7</v>
      </c>
      <c r="G34" s="2">
        <v>9.4499999999999993</v>
      </c>
      <c r="H34" s="2">
        <v>2850000</v>
      </c>
      <c r="I34" s="2">
        <v>15.1</v>
      </c>
    </row>
    <row r="35" spans="1:9" x14ac:dyDescent="0.35">
      <c r="A35" s="2" t="s">
        <v>2</v>
      </c>
      <c r="B35" s="2" t="s">
        <v>11</v>
      </c>
      <c r="C35" s="2">
        <v>2021</v>
      </c>
      <c r="D35" s="2">
        <v>255080</v>
      </c>
      <c r="E35" s="3">
        <v>178460</v>
      </c>
      <c r="F35" s="2">
        <v>7.9</v>
      </c>
      <c r="G35" s="2">
        <v>9.67</v>
      </c>
      <c r="H35" s="2">
        <v>2990000</v>
      </c>
      <c r="I35" s="2">
        <v>20.8</v>
      </c>
    </row>
    <row r="36" spans="1:9" x14ac:dyDescent="0.35">
      <c r="A36" s="2" t="s">
        <v>2</v>
      </c>
      <c r="B36" s="2" t="s">
        <v>11</v>
      </c>
      <c r="C36" s="2">
        <v>2023</v>
      </c>
      <c r="D36" s="2">
        <v>267360</v>
      </c>
      <c r="E36" s="3">
        <v>189770</v>
      </c>
      <c r="F36" s="2">
        <v>3.6</v>
      </c>
      <c r="G36" s="2">
        <v>9.81</v>
      </c>
      <c r="H36" s="2">
        <v>3090000</v>
      </c>
      <c r="I36" s="2">
        <v>23</v>
      </c>
    </row>
    <row r="37" spans="1:9" x14ac:dyDescent="0.35">
      <c r="A37" s="2" t="str">
        <f t="shared" ref="A37:A38" si="6">"Region "&amp;ROMAN(5)</f>
        <v>Region V</v>
      </c>
      <c r="B37" s="2" t="s">
        <v>12</v>
      </c>
      <c r="C37" s="2">
        <v>2012</v>
      </c>
      <c r="D37" s="2">
        <v>160148</v>
      </c>
      <c r="E37" s="2">
        <v>141782</v>
      </c>
      <c r="F37" s="2">
        <v>6</v>
      </c>
      <c r="G37" s="2">
        <v>8.83</v>
      </c>
      <c r="H37" s="2">
        <v>5690000</v>
      </c>
      <c r="I37" s="2">
        <v>37.299999999999997</v>
      </c>
    </row>
    <row r="38" spans="1:9" x14ac:dyDescent="0.35">
      <c r="A38" s="2" t="str">
        <f t="shared" si="6"/>
        <v>Region V</v>
      </c>
      <c r="B38" s="2" t="s">
        <v>12</v>
      </c>
      <c r="C38" s="2">
        <v>2015</v>
      </c>
      <c r="D38" s="4">
        <v>198820.93712352504</v>
      </c>
      <c r="E38" s="4">
        <v>171791.78050994306</v>
      </c>
      <c r="F38" s="2">
        <v>5.6</v>
      </c>
      <c r="G38" s="2">
        <v>9.26</v>
      </c>
      <c r="H38" s="2">
        <v>6300000</v>
      </c>
      <c r="I38" s="2">
        <v>39.799999999999997</v>
      </c>
    </row>
    <row r="39" spans="1:9" x14ac:dyDescent="0.35">
      <c r="A39" s="2" t="str">
        <f>"Region "&amp;ROMAN(5)</f>
        <v>Region V</v>
      </c>
      <c r="B39" s="2" t="s">
        <v>12</v>
      </c>
      <c r="C39" s="2">
        <v>2018</v>
      </c>
      <c r="D39" s="2">
        <v>234930</v>
      </c>
      <c r="E39" s="3">
        <v>193420</v>
      </c>
      <c r="F39" s="2">
        <v>4.9000000000000004</v>
      </c>
      <c r="G39" s="2">
        <v>9.65</v>
      </c>
      <c r="H39" s="2">
        <v>6750000</v>
      </c>
      <c r="I39" s="2">
        <v>27</v>
      </c>
    </row>
    <row r="40" spans="1:9" x14ac:dyDescent="0.35">
      <c r="A40" s="2" t="str">
        <f t="shared" ref="A40:A41" si="7">"Region "&amp;ROMAN(5)</f>
        <v>Region V</v>
      </c>
      <c r="B40" s="2" t="s">
        <v>12</v>
      </c>
      <c r="C40" s="2">
        <v>2021</v>
      </c>
      <c r="D40" s="2">
        <v>252010</v>
      </c>
      <c r="E40" s="3">
        <v>190270</v>
      </c>
      <c r="F40" s="2">
        <v>8.1999999999999993</v>
      </c>
      <c r="G40" s="2">
        <v>9.69</v>
      </c>
      <c r="H40" s="2">
        <v>6290000</v>
      </c>
      <c r="I40" s="2">
        <v>29.3</v>
      </c>
    </row>
    <row r="41" spans="1:9" x14ac:dyDescent="0.35">
      <c r="A41" s="2" t="str">
        <f t="shared" si="7"/>
        <v>Region V</v>
      </c>
      <c r="B41" s="2" t="s">
        <v>12</v>
      </c>
      <c r="C41" s="2">
        <v>2023</v>
      </c>
      <c r="D41" s="2">
        <v>287470</v>
      </c>
      <c r="E41" s="3">
        <v>202620</v>
      </c>
      <c r="F41" s="2">
        <v>4.8</v>
      </c>
      <c r="G41" s="2">
        <v>9.7100000000000009</v>
      </c>
      <c r="H41" s="2">
        <v>5980000</v>
      </c>
      <c r="I41" s="2">
        <v>28</v>
      </c>
    </row>
    <row r="42" spans="1:9" x14ac:dyDescent="0.35">
      <c r="A42" s="2" t="str">
        <f t="shared" ref="A42:A43" si="8">"Region "&amp;ROMAN(6)</f>
        <v>Region VI</v>
      </c>
      <c r="B42" s="2" t="s">
        <v>13</v>
      </c>
      <c r="C42" s="2">
        <v>2012</v>
      </c>
      <c r="D42" s="2">
        <v>201247</v>
      </c>
      <c r="E42" s="2">
        <v>162575</v>
      </c>
      <c r="F42" s="2">
        <v>6.6</v>
      </c>
      <c r="G42" s="2">
        <v>8.9600000000000009</v>
      </c>
      <c r="H42" s="2">
        <v>7280000</v>
      </c>
      <c r="I42" s="2">
        <v>26.3</v>
      </c>
    </row>
    <row r="43" spans="1:9" x14ac:dyDescent="0.35">
      <c r="A43" s="2" t="str">
        <f t="shared" si="8"/>
        <v>Region VI</v>
      </c>
      <c r="B43" s="2" t="s">
        <v>13</v>
      </c>
      <c r="C43" s="2">
        <v>2015</v>
      </c>
      <c r="D43" s="4">
        <v>248395.02782236491</v>
      </c>
      <c r="E43" s="4">
        <v>194537.25093633001</v>
      </c>
      <c r="F43" s="2">
        <v>5.4</v>
      </c>
      <c r="G43" s="2">
        <v>9.2899999999999991</v>
      </c>
      <c r="H43" s="2">
        <v>7310000</v>
      </c>
      <c r="I43" s="2">
        <v>24.6</v>
      </c>
    </row>
    <row r="44" spans="1:9" x14ac:dyDescent="0.35">
      <c r="A44" s="2" t="str">
        <f>"Region "&amp;ROMAN(6)</f>
        <v>Region VI</v>
      </c>
      <c r="B44" s="2" t="s">
        <v>13</v>
      </c>
      <c r="C44" s="2">
        <v>2018</v>
      </c>
      <c r="D44" s="2">
        <v>283120</v>
      </c>
      <c r="E44" s="3">
        <v>208380</v>
      </c>
      <c r="F44" s="2">
        <v>5.3</v>
      </c>
      <c r="G44" s="2">
        <v>9.81</v>
      </c>
      <c r="H44" s="2">
        <v>7520000</v>
      </c>
      <c r="I44" s="2">
        <v>16.3</v>
      </c>
    </row>
    <row r="45" spans="1:9" x14ac:dyDescent="0.35">
      <c r="A45" s="2" t="str">
        <f t="shared" ref="A45:A46" si="9">"Region "&amp;ROMAN(6)</f>
        <v>Region VI</v>
      </c>
      <c r="B45" s="2" t="s">
        <v>13</v>
      </c>
      <c r="C45" s="2">
        <v>2021</v>
      </c>
      <c r="D45" s="2">
        <v>292400</v>
      </c>
      <c r="E45" s="3">
        <v>211080</v>
      </c>
      <c r="F45" s="2">
        <v>6.6</v>
      </c>
      <c r="G45" s="2">
        <v>10.4</v>
      </c>
      <c r="H45" s="2">
        <v>8050000</v>
      </c>
      <c r="I45" s="2">
        <v>19</v>
      </c>
    </row>
    <row r="46" spans="1:9" x14ac:dyDescent="0.35">
      <c r="A46" s="2" t="str">
        <f t="shared" si="9"/>
        <v>Region VI</v>
      </c>
      <c r="B46" s="2" t="s">
        <v>13</v>
      </c>
      <c r="C46" s="2">
        <v>2023</v>
      </c>
      <c r="D46" s="2">
        <v>320230</v>
      </c>
      <c r="E46" s="3">
        <v>229740</v>
      </c>
      <c r="F46" s="2">
        <v>4.0999999999999996</v>
      </c>
      <c r="G46" s="2">
        <v>10.8</v>
      </c>
      <c r="H46" s="2">
        <v>8410000</v>
      </c>
      <c r="I46" s="2">
        <v>14</v>
      </c>
    </row>
    <row r="47" spans="1:9" x14ac:dyDescent="0.35">
      <c r="A47" s="2" t="str">
        <f t="shared" ref="A47:A48" si="10">"Region "&amp;ROMAN(7)</f>
        <v>Region VII</v>
      </c>
      <c r="B47" s="2" t="s">
        <v>14</v>
      </c>
      <c r="C47" s="2">
        <v>2012</v>
      </c>
      <c r="D47" s="2">
        <v>202650</v>
      </c>
      <c r="E47" s="2">
        <v>158279</v>
      </c>
      <c r="F47" s="2">
        <v>7.1</v>
      </c>
      <c r="G47" s="2">
        <v>8.76</v>
      </c>
      <c r="H47" s="2">
        <v>6840000</v>
      </c>
      <c r="I47" s="2" t="s">
        <v>20</v>
      </c>
    </row>
    <row r="48" spans="1:9" x14ac:dyDescent="0.35">
      <c r="A48" s="2" t="str">
        <f t="shared" si="10"/>
        <v>Region VII</v>
      </c>
      <c r="B48" s="2" t="s">
        <v>14</v>
      </c>
      <c r="C48" s="2">
        <v>2015</v>
      </c>
      <c r="D48" s="4">
        <v>265728.0512460802</v>
      </c>
      <c r="E48" s="4">
        <v>212444.77686086812</v>
      </c>
      <c r="F48" s="2">
        <v>5.9</v>
      </c>
      <c r="G48" s="2">
        <v>9.15</v>
      </c>
      <c r="H48" s="2">
        <v>6930000</v>
      </c>
      <c r="I48" s="2">
        <v>29.4</v>
      </c>
    </row>
    <row r="49" spans="1:9" x14ac:dyDescent="0.35">
      <c r="A49" s="2" t="str">
        <f>"Region "&amp;ROMAN(7)</f>
        <v>Region VII</v>
      </c>
      <c r="B49" s="2" t="s">
        <v>14</v>
      </c>
      <c r="C49" s="2">
        <v>2018</v>
      </c>
      <c r="D49" s="2">
        <v>317800</v>
      </c>
      <c r="E49" s="3">
        <v>213230</v>
      </c>
      <c r="F49" s="2">
        <v>5.3</v>
      </c>
      <c r="G49" s="2">
        <v>9.5500000000000007</v>
      </c>
      <c r="H49" s="2">
        <v>7230000</v>
      </c>
      <c r="I49" s="2">
        <v>17.7</v>
      </c>
    </row>
    <row r="50" spans="1:9" x14ac:dyDescent="0.35">
      <c r="A50" s="2" t="str">
        <f t="shared" ref="A50:A51" si="11">"Region "&amp;ROMAN(7)</f>
        <v>Region VII</v>
      </c>
      <c r="B50" s="2" t="s">
        <v>14</v>
      </c>
      <c r="C50" s="2">
        <v>2021</v>
      </c>
      <c r="D50" s="2">
        <v>292600</v>
      </c>
      <c r="E50" s="3">
        <v>201320</v>
      </c>
      <c r="F50" s="2">
        <v>7.2</v>
      </c>
      <c r="G50" s="2">
        <v>9.7799999999999994</v>
      </c>
      <c r="H50" s="2">
        <v>8180000</v>
      </c>
      <c r="I50" s="2">
        <v>27.6</v>
      </c>
    </row>
    <row r="51" spans="1:9" x14ac:dyDescent="0.35">
      <c r="A51" s="2" t="str">
        <f t="shared" si="11"/>
        <v>Region VII</v>
      </c>
      <c r="B51" s="2" t="s">
        <v>14</v>
      </c>
      <c r="C51" s="2">
        <v>2023</v>
      </c>
      <c r="D51" s="2">
        <v>326940</v>
      </c>
      <c r="E51" s="3">
        <v>218030</v>
      </c>
      <c r="F51" s="2">
        <v>3.6</v>
      </c>
      <c r="G51" s="2">
        <v>9.94</v>
      </c>
      <c r="H51" s="2">
        <v>8820000</v>
      </c>
      <c r="I51" s="2">
        <v>17</v>
      </c>
    </row>
    <row r="52" spans="1:9" x14ac:dyDescent="0.35">
      <c r="A52" s="2" t="str">
        <f t="shared" ref="A52:A53" si="12">"Region "&amp;ROMAN(8)</f>
        <v>Region VIII</v>
      </c>
      <c r="B52" s="2" t="s">
        <v>15</v>
      </c>
      <c r="C52" s="2">
        <v>2012</v>
      </c>
      <c r="D52" s="2">
        <v>164504</v>
      </c>
      <c r="E52" s="2">
        <v>131685</v>
      </c>
      <c r="F52" s="2">
        <v>5.0999999999999996</v>
      </c>
      <c r="G52" s="2">
        <v>8.5500000000000007</v>
      </c>
      <c r="H52" s="2">
        <v>4040000</v>
      </c>
      <c r="I52" s="2">
        <v>41.8</v>
      </c>
    </row>
    <row r="53" spans="1:9" x14ac:dyDescent="0.35">
      <c r="A53" s="2" t="str">
        <f t="shared" si="12"/>
        <v>Region VIII</v>
      </c>
      <c r="B53" s="2" t="s">
        <v>15</v>
      </c>
      <c r="C53" s="2">
        <v>2015</v>
      </c>
      <c r="D53" s="4">
        <v>218164.94498788501</v>
      </c>
      <c r="E53" s="4">
        <v>171984.33976487481</v>
      </c>
      <c r="F53" s="2">
        <v>5.4</v>
      </c>
      <c r="G53" s="2">
        <v>8.94</v>
      </c>
      <c r="H53" s="2">
        <v>4430000</v>
      </c>
      <c r="I53" s="2">
        <v>41.3</v>
      </c>
    </row>
    <row r="54" spans="1:9" x14ac:dyDescent="0.35">
      <c r="A54" s="2" t="str">
        <f>"Region "&amp;ROMAN(8)</f>
        <v>Region VIII</v>
      </c>
      <c r="B54" s="2" t="s">
        <v>15</v>
      </c>
      <c r="C54" s="2">
        <v>2018</v>
      </c>
      <c r="D54" s="2">
        <v>226630</v>
      </c>
      <c r="E54" s="3">
        <v>178640</v>
      </c>
      <c r="F54" s="2">
        <v>4.2</v>
      </c>
      <c r="G54" s="2">
        <v>9.4</v>
      </c>
      <c r="H54" s="2">
        <v>4720000</v>
      </c>
      <c r="I54" s="2">
        <v>30.7</v>
      </c>
    </row>
    <row r="55" spans="1:9" x14ac:dyDescent="0.35">
      <c r="A55" s="2" t="str">
        <f t="shared" ref="A55" si="13">"Region "&amp;ROMAN(8)</f>
        <v>Region VIII</v>
      </c>
      <c r="B55" s="2" t="s">
        <v>15</v>
      </c>
      <c r="C55" s="2">
        <v>2021</v>
      </c>
      <c r="D55" s="2">
        <v>242930</v>
      </c>
      <c r="E55" s="3">
        <v>189130</v>
      </c>
      <c r="F55" s="2">
        <v>6.6</v>
      </c>
      <c r="G55" s="2">
        <v>9.81</v>
      </c>
      <c r="H55" s="2">
        <v>4540000</v>
      </c>
      <c r="I55" s="2">
        <v>28.9</v>
      </c>
    </row>
    <row r="56" spans="1:9" x14ac:dyDescent="0.35">
      <c r="A56" s="2" t="str">
        <f>"Region "&amp;ROMAN(8)</f>
        <v>Region VIII</v>
      </c>
      <c r="B56" s="2" t="s">
        <v>15</v>
      </c>
      <c r="C56" s="2">
        <v>2023</v>
      </c>
      <c r="D56" s="2">
        <v>267330</v>
      </c>
      <c r="E56" s="3">
        <v>199910</v>
      </c>
      <c r="F56" s="2">
        <v>3.8</v>
      </c>
      <c r="G56" s="2">
        <v>10.1</v>
      </c>
      <c r="H56" s="2">
        <v>4420000</v>
      </c>
      <c r="I56" s="2">
        <v>27</v>
      </c>
    </row>
    <row r="57" spans="1:9" x14ac:dyDescent="0.35">
      <c r="A57" s="2" t="str">
        <f>"Region "&amp;ROMAN(9)</f>
        <v>Region IX</v>
      </c>
      <c r="B57" s="2" t="s">
        <v>16</v>
      </c>
      <c r="C57" s="2">
        <v>2012</v>
      </c>
      <c r="D57" s="2">
        <v>162958</v>
      </c>
      <c r="E57" s="2">
        <v>122805</v>
      </c>
      <c r="F57" s="2">
        <v>3.7</v>
      </c>
      <c r="G57" s="2">
        <v>8.4600000000000009</v>
      </c>
      <c r="H57" s="2">
        <v>4190000</v>
      </c>
      <c r="I57" s="2">
        <v>36.200000000000003</v>
      </c>
    </row>
    <row r="58" spans="1:9" x14ac:dyDescent="0.35">
      <c r="A58" s="2" t="str">
        <f t="shared" ref="A58:A61" si="14">"Region "&amp;ROMAN(9)</f>
        <v>Region IX</v>
      </c>
      <c r="B58" s="2" t="s">
        <v>16</v>
      </c>
      <c r="C58" s="2">
        <v>2015</v>
      </c>
      <c r="D58" s="4">
        <v>213030.88363943933</v>
      </c>
      <c r="E58" s="4">
        <v>162979.23912518125</v>
      </c>
      <c r="F58" s="2">
        <v>3.5</v>
      </c>
      <c r="G58" s="2">
        <v>8.67</v>
      </c>
      <c r="H58" s="2">
        <v>4000000</v>
      </c>
      <c r="I58" s="2">
        <v>37.700000000000003</v>
      </c>
    </row>
    <row r="59" spans="1:9" x14ac:dyDescent="0.35">
      <c r="A59" s="2" t="str">
        <f t="shared" si="14"/>
        <v>Region IX</v>
      </c>
      <c r="B59" s="2" t="s">
        <v>16</v>
      </c>
      <c r="C59" s="2">
        <v>2018</v>
      </c>
      <c r="D59" s="2">
        <v>227800</v>
      </c>
      <c r="E59" s="3">
        <v>162460</v>
      </c>
      <c r="F59" s="2">
        <v>4.0999999999999996</v>
      </c>
      <c r="G59" s="2">
        <v>8.89</v>
      </c>
      <c r="H59" s="2">
        <v>3760000</v>
      </c>
      <c r="I59" s="2">
        <v>32.700000000000003</v>
      </c>
    </row>
    <row r="60" spans="1:9" x14ac:dyDescent="0.35">
      <c r="A60" s="2" t="str">
        <f t="shared" si="14"/>
        <v>Region IX</v>
      </c>
      <c r="B60" s="2" t="s">
        <v>16</v>
      </c>
      <c r="C60" s="2">
        <v>2021</v>
      </c>
      <c r="D60" s="2">
        <v>238560</v>
      </c>
      <c r="E60" s="3">
        <v>166300</v>
      </c>
      <c r="F60" s="2">
        <v>4</v>
      </c>
      <c r="G60" s="2">
        <v>8.92</v>
      </c>
      <c r="H60" s="2">
        <v>4010000</v>
      </c>
      <c r="I60" s="2">
        <v>30.1</v>
      </c>
    </row>
    <row r="61" spans="1:9" x14ac:dyDescent="0.35">
      <c r="A61" s="2" t="str">
        <f t="shared" si="14"/>
        <v>Region IX</v>
      </c>
      <c r="B61" s="2" t="s">
        <v>16</v>
      </c>
      <c r="C61" s="2">
        <v>2023</v>
      </c>
      <c r="D61" s="2">
        <v>257140</v>
      </c>
      <c r="E61" s="3">
        <v>200930</v>
      </c>
      <c r="F61" s="2">
        <v>3.1</v>
      </c>
      <c r="G61" s="2">
        <v>8.94</v>
      </c>
      <c r="H61" s="2">
        <v>4180000</v>
      </c>
      <c r="I61" s="2">
        <v>32</v>
      </c>
    </row>
    <row r="62" spans="1:9" x14ac:dyDescent="0.35">
      <c r="A62" s="2" t="str">
        <f t="shared" ref="A62:A63" si="15">"Region "&amp;ROMAN(10)</f>
        <v>Region X</v>
      </c>
      <c r="B62" s="2" t="s">
        <v>17</v>
      </c>
      <c r="C62" s="2">
        <v>2012</v>
      </c>
      <c r="D62" s="2">
        <v>181612</v>
      </c>
      <c r="E62" s="2">
        <v>137614</v>
      </c>
      <c r="F62" s="2">
        <v>4.5999999999999996</v>
      </c>
      <c r="G62" s="2">
        <v>8.5500000000000007</v>
      </c>
      <c r="H62" s="2">
        <v>4600000</v>
      </c>
      <c r="I62" s="2">
        <v>35</v>
      </c>
    </row>
    <row r="63" spans="1:9" x14ac:dyDescent="0.35">
      <c r="A63" s="2" t="str">
        <f t="shared" si="15"/>
        <v>Region X</v>
      </c>
      <c r="B63" s="2" t="s">
        <v>17</v>
      </c>
      <c r="C63" s="2">
        <v>2015</v>
      </c>
      <c r="D63" s="4">
        <v>234618.21487881508</v>
      </c>
      <c r="E63" s="4">
        <v>172071.68761220825</v>
      </c>
      <c r="F63" s="2">
        <v>5.6</v>
      </c>
      <c r="G63" s="2">
        <v>9.1300000000000008</v>
      </c>
      <c r="H63" s="2">
        <v>4630000</v>
      </c>
      <c r="I63" s="2">
        <v>38.700000000000003</v>
      </c>
    </row>
    <row r="64" spans="1:9" x14ac:dyDescent="0.35">
      <c r="A64" s="2" t="str">
        <f>"Region "&amp;ROMAN(10)</f>
        <v>Region X</v>
      </c>
      <c r="B64" s="2" t="s">
        <v>17</v>
      </c>
      <c r="C64" s="2">
        <v>2018</v>
      </c>
      <c r="D64" s="2">
        <v>250360</v>
      </c>
      <c r="E64" s="3">
        <v>174640</v>
      </c>
      <c r="F64" s="2">
        <v>4.0999999999999996</v>
      </c>
      <c r="G64" s="2">
        <v>9.8000000000000007</v>
      </c>
      <c r="H64" s="2">
        <v>4510000</v>
      </c>
      <c r="I64" s="2">
        <v>23.1</v>
      </c>
    </row>
    <row r="65" spans="1:9" x14ac:dyDescent="0.35">
      <c r="A65" s="2" t="str">
        <f t="shared" ref="A65:A66" si="16">"Region "&amp;ROMAN(10)</f>
        <v>Region X</v>
      </c>
      <c r="B65" s="2" t="s">
        <v>17</v>
      </c>
      <c r="C65" s="2">
        <v>2021</v>
      </c>
      <c r="D65" s="2">
        <v>257460</v>
      </c>
      <c r="E65" s="3">
        <v>175710</v>
      </c>
      <c r="F65" s="2">
        <v>4.9000000000000004</v>
      </c>
      <c r="G65" s="2">
        <v>9.93</v>
      </c>
      <c r="H65" s="2">
        <v>4490000</v>
      </c>
      <c r="I65" s="2">
        <v>26.1</v>
      </c>
    </row>
    <row r="66" spans="1:9" x14ac:dyDescent="0.35">
      <c r="A66" s="2" t="str">
        <f t="shared" si="16"/>
        <v>Region X</v>
      </c>
      <c r="B66" s="2" t="s">
        <v>17</v>
      </c>
      <c r="C66" s="2">
        <v>2023</v>
      </c>
      <c r="D66" s="2">
        <v>296500</v>
      </c>
      <c r="E66" s="3">
        <v>202580</v>
      </c>
      <c r="F66" s="2">
        <v>5.3</v>
      </c>
      <c r="G66" s="2">
        <v>10</v>
      </c>
      <c r="H66" s="2">
        <v>4480000</v>
      </c>
      <c r="I66" s="2">
        <v>25</v>
      </c>
    </row>
    <row r="67" spans="1:9" x14ac:dyDescent="0.35">
      <c r="A67" s="2" t="str">
        <f t="shared" ref="A67:A68" si="17">"Region "&amp;ROMAN(11)</f>
        <v>Region XI</v>
      </c>
      <c r="B67" s="2" t="s">
        <v>18</v>
      </c>
      <c r="C67" s="2">
        <v>2012</v>
      </c>
      <c r="D67" s="2">
        <v>189222</v>
      </c>
      <c r="E67" s="2">
        <v>151128</v>
      </c>
      <c r="F67" s="2">
        <v>6</v>
      </c>
      <c r="G67" s="2">
        <v>8.8000000000000007</v>
      </c>
      <c r="H67" s="2">
        <v>5050000</v>
      </c>
      <c r="I67" s="2">
        <v>26.6</v>
      </c>
    </row>
    <row r="68" spans="1:9" x14ac:dyDescent="0.35">
      <c r="A68" s="2" t="str">
        <f t="shared" si="17"/>
        <v>Region XI</v>
      </c>
      <c r="B68" s="2" t="s">
        <v>18</v>
      </c>
      <c r="C68" s="2">
        <v>2015</v>
      </c>
      <c r="D68" s="4">
        <v>265674.7315813321</v>
      </c>
      <c r="E68" s="4">
        <v>204827.22365201631</v>
      </c>
      <c r="F68" s="2">
        <v>5.8</v>
      </c>
      <c r="G68" s="2">
        <v>9.3000000000000007</v>
      </c>
      <c r="H68" s="2">
        <v>5540000</v>
      </c>
      <c r="I68" s="2">
        <v>23.5</v>
      </c>
    </row>
    <row r="69" spans="1:9" x14ac:dyDescent="0.35">
      <c r="A69" s="2" t="str">
        <f>"Region "&amp;ROMAN(11)</f>
        <v>Region XI</v>
      </c>
      <c r="B69" s="2" t="s">
        <v>18</v>
      </c>
      <c r="C69" s="2">
        <v>2018</v>
      </c>
      <c r="D69" s="2">
        <v>269910</v>
      </c>
      <c r="E69" s="3">
        <v>191620</v>
      </c>
      <c r="F69" s="2">
        <v>4.3</v>
      </c>
      <c r="G69" s="2">
        <v>9.73</v>
      </c>
      <c r="H69" s="2">
        <v>5890000</v>
      </c>
      <c r="I69" s="2">
        <v>19.100000000000001</v>
      </c>
    </row>
    <row r="70" spans="1:9" x14ac:dyDescent="0.35">
      <c r="A70" s="2" t="str">
        <f t="shared" ref="A70:A71" si="18">"Region "&amp;ROMAN(11)</f>
        <v>Region XI</v>
      </c>
      <c r="B70" s="2" t="s">
        <v>18</v>
      </c>
      <c r="C70" s="2">
        <v>2021</v>
      </c>
      <c r="D70" s="2">
        <v>281880</v>
      </c>
      <c r="E70" s="3">
        <v>183890</v>
      </c>
      <c r="F70" s="2">
        <v>4.8</v>
      </c>
      <c r="G70" s="2">
        <v>9.8699999999999992</v>
      </c>
      <c r="H70" s="2">
        <v>6140000</v>
      </c>
      <c r="I70" s="2">
        <v>16.8</v>
      </c>
    </row>
    <row r="71" spans="1:9" x14ac:dyDescent="0.35">
      <c r="A71" s="2" t="str">
        <f t="shared" si="18"/>
        <v>Region XI</v>
      </c>
      <c r="B71" s="2" t="s">
        <v>18</v>
      </c>
      <c r="C71" s="2">
        <v>2023</v>
      </c>
      <c r="D71" s="2">
        <v>318950</v>
      </c>
      <c r="E71" s="3">
        <v>204330</v>
      </c>
      <c r="F71" s="2">
        <v>3.1</v>
      </c>
      <c r="G71" s="2">
        <v>9.9700000000000006</v>
      </c>
      <c r="H71" s="2">
        <v>6300000</v>
      </c>
      <c r="I71" s="2">
        <v>16</v>
      </c>
    </row>
    <row r="72" spans="1:9" x14ac:dyDescent="0.35">
      <c r="A72" s="2" t="str">
        <f t="shared" ref="A72:A73" si="19">"Region "&amp;ROMAN(12)</f>
        <v>Region XII</v>
      </c>
      <c r="B72" s="2" t="s">
        <v>19</v>
      </c>
      <c r="C72" s="2">
        <v>2012</v>
      </c>
      <c r="D72" s="2">
        <v>158528</v>
      </c>
      <c r="E72" s="2">
        <v>136501</v>
      </c>
      <c r="F72" s="2">
        <v>4.2</v>
      </c>
      <c r="G72" s="2">
        <v>8.31</v>
      </c>
      <c r="H72" s="2">
        <v>4640000</v>
      </c>
      <c r="I72" s="2">
        <v>40.4</v>
      </c>
    </row>
    <row r="73" spans="1:9" x14ac:dyDescent="0.35">
      <c r="A73" s="2" t="str">
        <f t="shared" si="19"/>
        <v>Region XII</v>
      </c>
      <c r="B73" s="2" t="s">
        <v>19</v>
      </c>
      <c r="C73" s="2">
        <v>2015</v>
      </c>
      <c r="D73" s="4">
        <v>199854.13517100562</v>
      </c>
      <c r="E73" s="4">
        <v>175497.19693721287</v>
      </c>
      <c r="F73" s="2">
        <v>3.5</v>
      </c>
      <c r="G73" s="2">
        <v>8.67</v>
      </c>
      <c r="H73" s="2">
        <v>4990000</v>
      </c>
      <c r="I73" s="2">
        <v>38.1</v>
      </c>
    </row>
    <row r="74" spans="1:9" x14ac:dyDescent="0.35">
      <c r="A74" s="2" t="str">
        <f>"Region "&amp;ROMAN(12)</f>
        <v>Region XII</v>
      </c>
      <c r="B74" s="2" t="s">
        <v>19</v>
      </c>
      <c r="C74" s="2">
        <v>2018</v>
      </c>
      <c r="D74" s="2">
        <v>242740</v>
      </c>
      <c r="E74" s="3">
        <v>181320</v>
      </c>
      <c r="F74" s="2">
        <v>3.9</v>
      </c>
      <c r="G74" s="2">
        <v>9.07</v>
      </c>
      <c r="H74" s="2">
        <v>5120000</v>
      </c>
      <c r="I74" s="2">
        <v>28.2</v>
      </c>
    </row>
    <row r="75" spans="1:9" x14ac:dyDescent="0.35">
      <c r="A75" s="2" t="str">
        <f t="shared" ref="A75:A76" si="20">"Region "&amp;ROMAN(12)</f>
        <v>Region XII</v>
      </c>
      <c r="B75" s="2" t="s">
        <v>19</v>
      </c>
      <c r="C75" s="2">
        <v>2021</v>
      </c>
      <c r="D75" s="2">
        <v>234970</v>
      </c>
      <c r="E75" s="3">
        <v>173430</v>
      </c>
      <c r="F75" s="2">
        <v>5.3</v>
      </c>
      <c r="G75" s="2">
        <v>9.42</v>
      </c>
      <c r="H75" s="2">
        <v>5150000</v>
      </c>
      <c r="I75" s="2">
        <v>28.1</v>
      </c>
    </row>
    <row r="76" spans="1:9" x14ac:dyDescent="0.35">
      <c r="A76" s="2" t="str">
        <f t="shared" si="20"/>
        <v>Region XII</v>
      </c>
      <c r="B76" s="2" t="s">
        <v>19</v>
      </c>
      <c r="C76" s="2">
        <v>2023</v>
      </c>
      <c r="D76" s="2">
        <v>282440</v>
      </c>
      <c r="E76" s="3">
        <v>202340</v>
      </c>
      <c r="F76" s="2">
        <v>3.2</v>
      </c>
      <c r="G76" s="2">
        <v>9.64</v>
      </c>
      <c r="H76" s="2">
        <v>5170000</v>
      </c>
      <c r="I76" s="2">
        <v>23</v>
      </c>
    </row>
    <row r="77" spans="1:9" x14ac:dyDescent="0.35">
      <c r="A77" s="2" t="s">
        <v>3</v>
      </c>
      <c r="B77" s="2" t="s">
        <v>3</v>
      </c>
      <c r="C77" s="2">
        <v>2012</v>
      </c>
      <c r="D77" s="2">
        <v>377550</v>
      </c>
      <c r="E77" s="2">
        <v>322437</v>
      </c>
      <c r="F77" s="2">
        <v>5.6</v>
      </c>
      <c r="G77" s="2">
        <v>8.67</v>
      </c>
      <c r="H77" s="2">
        <v>2740000</v>
      </c>
      <c r="I77" s="2">
        <v>36.700000000000003</v>
      </c>
    </row>
    <row r="78" spans="1:9" x14ac:dyDescent="0.35">
      <c r="A78" s="2" t="s">
        <v>3</v>
      </c>
      <c r="B78" s="2" t="s">
        <v>3</v>
      </c>
      <c r="C78" s="2">
        <v>2015</v>
      </c>
      <c r="D78" s="4">
        <v>470281.63920896902</v>
      </c>
      <c r="E78" s="4">
        <v>387680.39805875637</v>
      </c>
      <c r="F78" s="2">
        <v>5.7</v>
      </c>
      <c r="G78" s="2">
        <v>9.11</v>
      </c>
      <c r="H78" s="2">
        <v>2930000</v>
      </c>
      <c r="I78" s="2">
        <v>39.700000000000003</v>
      </c>
    </row>
    <row r="79" spans="1:9" x14ac:dyDescent="0.35">
      <c r="A79" s="2" t="s">
        <v>3</v>
      </c>
      <c r="B79" s="2" t="s">
        <v>3</v>
      </c>
      <c r="C79" s="2">
        <v>2018</v>
      </c>
      <c r="D79" s="2">
        <v>242750</v>
      </c>
      <c r="E79" s="3">
        <v>186800</v>
      </c>
      <c r="F79" s="2">
        <v>4</v>
      </c>
      <c r="G79" s="2">
        <v>9.59</v>
      </c>
      <c r="H79" s="2">
        <v>2980000</v>
      </c>
      <c r="I79" s="2">
        <v>30.5</v>
      </c>
    </row>
    <row r="80" spans="1:9" x14ac:dyDescent="0.35">
      <c r="A80" s="2" t="s">
        <v>3</v>
      </c>
      <c r="B80" s="2" t="s">
        <v>3</v>
      </c>
      <c r="C80" s="2">
        <v>2021</v>
      </c>
      <c r="D80" s="2">
        <v>249770</v>
      </c>
      <c r="E80" s="3">
        <v>198200</v>
      </c>
      <c r="F80" s="2">
        <v>5.7</v>
      </c>
      <c r="G80" s="2">
        <v>9.8800000000000008</v>
      </c>
      <c r="H80" s="2">
        <v>2820000</v>
      </c>
      <c r="I80" s="2">
        <v>33.200000000000003</v>
      </c>
    </row>
    <row r="81" spans="1:9" x14ac:dyDescent="0.35">
      <c r="A81" s="2" t="s">
        <v>3</v>
      </c>
      <c r="B81" s="2" t="s">
        <v>3</v>
      </c>
      <c r="C81" s="2">
        <v>2023</v>
      </c>
      <c r="D81" s="2">
        <v>276570</v>
      </c>
      <c r="E81" s="3">
        <v>213120</v>
      </c>
      <c r="F81" s="2">
        <v>3</v>
      </c>
      <c r="G81" s="2">
        <v>10.1</v>
      </c>
      <c r="H81" s="2">
        <v>2710000</v>
      </c>
      <c r="I81" s="2">
        <v>21</v>
      </c>
    </row>
    <row r="82" spans="1:9" x14ac:dyDescent="0.35">
      <c r="A82" s="2" t="s">
        <v>4</v>
      </c>
      <c r="B82" s="2" t="s">
        <v>4</v>
      </c>
      <c r="C82" s="2">
        <v>2012</v>
      </c>
      <c r="D82" s="2">
        <v>125172</v>
      </c>
      <c r="E82" s="2">
        <v>111933</v>
      </c>
      <c r="F82" s="2">
        <v>3.4</v>
      </c>
      <c r="G82" s="2">
        <v>6.16</v>
      </c>
      <c r="H82" s="2">
        <v>3160000</v>
      </c>
      <c r="I82" s="2">
        <v>50.5</v>
      </c>
    </row>
    <row r="83" spans="1:9" x14ac:dyDescent="0.35">
      <c r="A83" s="2" t="s">
        <v>4</v>
      </c>
      <c r="B83" s="2" t="s">
        <v>4</v>
      </c>
      <c r="C83" s="2">
        <v>2015</v>
      </c>
      <c r="D83" s="4">
        <v>143200.02028020745</v>
      </c>
      <c r="E83" s="4">
        <v>116801.80470624661</v>
      </c>
      <c r="F83" s="2">
        <v>3.5</v>
      </c>
      <c r="G83" s="2">
        <v>6.63</v>
      </c>
      <c r="H83" s="2">
        <v>3200000</v>
      </c>
      <c r="I83" s="2">
        <v>59.4</v>
      </c>
    </row>
    <row r="84" spans="1:9" x14ac:dyDescent="0.35">
      <c r="A84" s="2" t="s">
        <v>4</v>
      </c>
      <c r="B84" s="2" t="s">
        <v>4</v>
      </c>
      <c r="C84" s="2">
        <v>2018</v>
      </c>
      <c r="D84" s="2">
        <v>166930</v>
      </c>
      <c r="E84" s="3">
        <v>131210</v>
      </c>
      <c r="F84" s="2">
        <v>3.7</v>
      </c>
      <c r="G84" s="2">
        <v>7.27</v>
      </c>
      <c r="H84" s="2">
        <v>3690000</v>
      </c>
      <c r="I84" s="2">
        <v>61.8</v>
      </c>
    </row>
    <row r="85" spans="1:9" x14ac:dyDescent="0.35">
      <c r="A85" s="2" t="s">
        <v>4</v>
      </c>
      <c r="B85" s="2" t="s">
        <v>4</v>
      </c>
      <c r="C85" s="2">
        <v>2021</v>
      </c>
      <c r="D85" s="2">
        <v>188530</v>
      </c>
      <c r="E85" s="3">
        <v>153320</v>
      </c>
      <c r="F85" s="2">
        <v>9.1999999999999993</v>
      </c>
      <c r="G85" s="2">
        <v>7.79</v>
      </c>
      <c r="H85" s="2">
        <v>4550000</v>
      </c>
      <c r="I85" s="2">
        <v>37.200000000000003</v>
      </c>
    </row>
    <row r="86" spans="1:9" x14ac:dyDescent="0.35">
      <c r="A86" s="2" t="s">
        <v>4</v>
      </c>
      <c r="B86" s="2" t="s">
        <v>4</v>
      </c>
      <c r="C86" s="2">
        <v>2023</v>
      </c>
      <c r="D86" s="2">
        <v>206880</v>
      </c>
      <c r="E86" s="3">
        <v>168910</v>
      </c>
      <c r="F86" s="2">
        <v>3.6</v>
      </c>
      <c r="G86" s="2">
        <v>8.1300000000000008</v>
      </c>
      <c r="H86" s="2">
        <v>5130000</v>
      </c>
      <c r="I86" s="2">
        <v>32</v>
      </c>
    </row>
  </sheetData>
  <pageMargins left="0.7" right="0.7" top="0.75" bottom="0.75" header="0.3" footer="0.3"/>
  <pageSetup paperSize="14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 del Rosario</dc:creator>
  <cp:lastModifiedBy>MJ del Rosario</cp:lastModifiedBy>
  <dcterms:created xsi:type="dcterms:W3CDTF">2026-03-06T12:54:29Z</dcterms:created>
  <dcterms:modified xsi:type="dcterms:W3CDTF">2026-03-18T11:16:20Z</dcterms:modified>
</cp:coreProperties>
</file>